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oelterc\R\R data analysis\_git\competitive_fb_task\"/>
    </mc:Choice>
  </mc:AlternateContent>
  <bookViews>
    <workbookView xWindow="480" yWindow="195" windowWidth="19440" windowHeight="13620" activeTab="1"/>
  </bookViews>
  <sheets>
    <sheet name="Protocols" sheetId="4" r:id="rId1"/>
    <sheet name="counterbalancing" sheetId="13" r:id="rId2"/>
  </sheets>
  <definedNames>
    <definedName name="_xlnm._FilterDatabase" localSheetId="1" hidden="1">counterbalancing!$I$1:$N$25</definedName>
    <definedName name="_xlnm.Print_Titles" localSheetId="0">Protocols!$1:$7</definedName>
  </definedNames>
  <calcPr calcId="162913"/>
</workbook>
</file>

<file path=xl/calcChain.xml><?xml version="1.0" encoding="utf-8"?>
<calcChain xmlns="http://schemas.openxmlformats.org/spreadsheetml/2006/main">
  <c r="G12" i="13" l="1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5" i="13"/>
  <c r="G6" i="13"/>
  <c r="G7" i="13"/>
  <c r="G8" i="13"/>
  <c r="G9" i="13"/>
  <c r="G10" i="13"/>
  <c r="G11" i="13"/>
  <c r="G2" i="13" l="1"/>
  <c r="G3" i="13"/>
  <c r="G4" i="13"/>
  <c r="M16" i="13" l="1"/>
  <c r="K14" i="13"/>
  <c r="L19" i="13"/>
  <c r="M8" i="13"/>
  <c r="L24" i="13"/>
  <c r="M5" i="13"/>
  <c r="K20" i="13"/>
  <c r="M23" i="13"/>
  <c r="J17" i="13"/>
  <c r="M25" i="13"/>
  <c r="K25" i="13"/>
  <c r="L11" i="13"/>
  <c r="L9" i="13"/>
  <c r="L22" i="13"/>
  <c r="M6" i="13"/>
  <c r="L16" i="13"/>
  <c r="M24" i="13"/>
  <c r="M7" i="13"/>
  <c r="J8" i="13"/>
  <c r="M11" i="13"/>
  <c r="K6" i="13"/>
  <c r="L6" i="13"/>
  <c r="J14" i="13"/>
  <c r="L21" i="13"/>
  <c r="J12" i="13"/>
  <c r="M17" i="13"/>
  <c r="L7" i="13"/>
  <c r="M19" i="13"/>
  <c r="L25" i="13"/>
  <c r="M21" i="13"/>
  <c r="K18" i="13"/>
  <c r="J7" i="13"/>
  <c r="K10" i="13"/>
  <c r="J25" i="13"/>
  <c r="J6" i="13"/>
  <c r="J4" i="13"/>
  <c r="K4" i="13"/>
  <c r="L4" i="13"/>
  <c r="M4" i="13"/>
  <c r="M13" i="13"/>
  <c r="J16" i="13"/>
  <c r="K8" i="13"/>
  <c r="L8" i="13"/>
  <c r="J22" i="13"/>
  <c r="L15" i="13"/>
  <c r="M2" i="13"/>
  <c r="J10" i="13"/>
  <c r="M10" i="13"/>
  <c r="M20" i="13"/>
  <c r="K9" i="13"/>
  <c r="K21" i="13"/>
  <c r="J18" i="13"/>
  <c r="M18" i="13"/>
  <c r="J9" i="13"/>
  <c r="J13" i="13"/>
  <c r="J19" i="13"/>
  <c r="K5" i="13"/>
  <c r="K11" i="13"/>
  <c r="K15" i="13"/>
  <c r="K23" i="13"/>
  <c r="L10" i="13"/>
  <c r="L18" i="13"/>
  <c r="L20" i="13"/>
  <c r="M12" i="13"/>
  <c r="M14" i="13"/>
  <c r="M22" i="13"/>
  <c r="J5" i="13"/>
  <c r="J11" i="13"/>
  <c r="J21" i="13"/>
  <c r="J23" i="13"/>
  <c r="K7" i="13"/>
  <c r="K13" i="13"/>
  <c r="K19" i="13"/>
  <c r="L14" i="13"/>
  <c r="K17" i="13"/>
  <c r="K16" i="13"/>
  <c r="L13" i="13"/>
  <c r="J15" i="13"/>
  <c r="L17" i="13"/>
  <c r="K22" i="13"/>
  <c r="M9" i="13"/>
  <c r="K24" i="13"/>
  <c r="L3" i="13"/>
  <c r="M3" i="13"/>
  <c r="J3" i="13"/>
  <c r="K3" i="13"/>
  <c r="M15" i="13"/>
  <c r="J24" i="13"/>
  <c r="K12" i="13"/>
  <c r="L12" i="13"/>
  <c r="L5" i="13"/>
  <c r="L23" i="13"/>
  <c r="J20" i="13"/>
  <c r="K2" i="13"/>
  <c r="L2" i="13"/>
  <c r="I4" i="13"/>
  <c r="I18" i="13"/>
  <c r="J2" i="13"/>
  <c r="I15" i="13"/>
  <c r="I24" i="13"/>
  <c r="I7" i="13"/>
  <c r="I23" i="13"/>
  <c r="I3" i="13"/>
  <c r="I2" i="13"/>
  <c r="I6" i="13"/>
  <c r="I8" i="13"/>
  <c r="I9" i="13"/>
  <c r="I17" i="13"/>
  <c r="I25" i="13"/>
  <c r="I21" i="13"/>
  <c r="I22" i="13"/>
  <c r="I11" i="13"/>
  <c r="I12" i="13"/>
  <c r="I20" i="13"/>
  <c r="I5" i="13"/>
  <c r="I13" i="13"/>
  <c r="I14" i="13"/>
  <c r="I19" i="13"/>
  <c r="I10" i="13"/>
  <c r="I16" i="13"/>
  <c r="O22" i="13" l="1"/>
  <c r="O20" i="13"/>
  <c r="O23" i="13"/>
  <c r="O25" i="13"/>
  <c r="O21" i="13"/>
  <c r="O24" i="13"/>
  <c r="O17" i="13"/>
  <c r="O4" i="13"/>
  <c r="O10" i="13"/>
  <c r="O6" i="13"/>
  <c r="O16" i="13"/>
  <c r="O7" i="13"/>
  <c r="O3" i="13"/>
  <c r="O9" i="13"/>
  <c r="O11" i="13"/>
  <c r="O18" i="13"/>
  <c r="O12" i="13"/>
  <c r="O8" i="13"/>
  <c r="O5" i="13"/>
  <c r="O13" i="13"/>
  <c r="O15" i="13"/>
  <c r="O14" i="13"/>
  <c r="O19" i="13"/>
  <c r="O2" i="13"/>
  <c r="U2" i="13" a="1"/>
  <c r="U2" i="13" s="1"/>
  <c r="V2" i="13" a="1"/>
  <c r="V2" i="13" s="1"/>
  <c r="W2" i="13" a="1"/>
  <c r="W2" i="13" s="1"/>
  <c r="Q6" i="13" a="1"/>
  <c r="Q6" i="13" s="1"/>
  <c r="P6" i="13" a="1"/>
  <c r="P6" i="13" s="1"/>
  <c r="T2" i="13" a="1"/>
  <c r="T2" i="13" s="1"/>
  <c r="S2" i="13" a="1"/>
  <c r="S2" i="13" s="1"/>
  <c r="R2" i="13" a="1"/>
  <c r="R2" i="13" s="1"/>
  <c r="Q2" i="13" a="1"/>
  <c r="Q2" i="13" s="1"/>
  <c r="P2" i="13" a="1"/>
  <c r="P2" i="13" s="1"/>
  <c r="U7" i="13" l="1" a="1"/>
  <c r="U7" i="13" s="1"/>
  <c r="T7" i="13" a="1"/>
  <c r="T7" i="13" s="1"/>
  <c r="S7" i="13" a="1"/>
  <c r="S7" i="13" s="1"/>
  <c r="Q7" i="13" a="1"/>
  <c r="Q7" i="13" s="1"/>
  <c r="R7" i="13" a="1"/>
  <c r="R7" i="13" s="1"/>
  <c r="P7" i="13" a="1"/>
  <c r="P7" i="13" s="1"/>
  <c r="T6" i="13" a="1"/>
  <c r="T6" i="13" s="1"/>
  <c r="S6" i="13" a="1"/>
  <c r="S6" i="13" s="1"/>
  <c r="R6" i="13" a="1"/>
  <c r="R6" i="13" s="1"/>
  <c r="P10" i="13" l="1" a="1"/>
  <c r="P10" i="13" s="1"/>
</calcChain>
</file>

<file path=xl/sharedStrings.xml><?xml version="1.0" encoding="utf-8"?>
<sst xmlns="http://schemas.openxmlformats.org/spreadsheetml/2006/main" count="256" uniqueCount="47">
  <si>
    <t>rand</t>
  </si>
  <si>
    <t>Session:</t>
  </si>
  <si>
    <t>Comment</t>
  </si>
  <si>
    <t>Condition:</t>
  </si>
  <si>
    <t>Trial</t>
  </si>
  <si>
    <t>Trial correct</t>
  </si>
  <si>
    <t>trial_ID</t>
  </si>
  <si>
    <t>block</t>
  </si>
  <si>
    <t>trial_num</t>
  </si>
  <si>
    <t>criterion</t>
  </si>
  <si>
    <t xml:space="preserve">Subject: </t>
  </si>
  <si>
    <t>Chosen side</t>
  </si>
  <si>
    <t>competitor</t>
  </si>
  <si>
    <t>first_hidden</t>
  </si>
  <si>
    <t>A</t>
  </si>
  <si>
    <t>B</t>
  </si>
  <si>
    <t>dry</t>
  </si>
  <si>
    <t>sausage</t>
  </si>
  <si>
    <t>present</t>
  </si>
  <si>
    <t>absent</t>
  </si>
  <si>
    <t>C</t>
  </si>
  <si>
    <t>A_dry</t>
  </si>
  <si>
    <t>A_sausage</t>
  </si>
  <si>
    <t>B_dry</t>
  </si>
  <si>
    <t>B_sausage</t>
  </si>
  <si>
    <t>C_dry</t>
  </si>
  <si>
    <t>C_sausage</t>
  </si>
  <si>
    <t>max nuber of dry first</t>
  </si>
  <si>
    <t>max nuber of sausage first</t>
  </si>
  <si>
    <t>max number A location</t>
  </si>
  <si>
    <t>max number B location</t>
  </si>
  <si>
    <t>max nuber of c location</t>
  </si>
  <si>
    <t>competitor absent</t>
  </si>
  <si>
    <t>competitor present</t>
  </si>
  <si>
    <r>
      <rPr>
        <b/>
        <sz val="11"/>
        <color theme="1"/>
        <rFont val="Calibri"/>
        <family val="2"/>
        <scheme val="minor"/>
      </rPr>
      <t>Experimenter</t>
    </r>
    <r>
      <rPr>
        <sz val="11"/>
        <color theme="1"/>
        <rFont val="Calibri"/>
        <family val="2"/>
        <scheme val="minor"/>
      </rPr>
      <t xml:space="preserve">: </t>
    </r>
  </si>
  <si>
    <t>food_loc</t>
  </si>
  <si>
    <t>FB task</t>
  </si>
  <si>
    <t>sausage_location</t>
  </si>
  <si>
    <t>dry_location</t>
  </si>
  <si>
    <t>dry_food_loc</t>
  </si>
  <si>
    <t>sausage: max number A location</t>
  </si>
  <si>
    <t>sausage: max number B location</t>
  </si>
  <si>
    <t>sausage: max nuber of c location</t>
  </si>
  <si>
    <t>correct_loc</t>
  </si>
  <si>
    <t>correct_loc A</t>
  </si>
  <si>
    <t>correct_loc B</t>
  </si>
  <si>
    <t>correct_loc 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</si>
</sst>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/>
  </cellStyleXfs>
  <cellXfs count="27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6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1" fontId="0" fillId="0" borderId="0" xfId="0" applyNumberFormat="1" applyAlignment="1">
      <alignment horizontal="center" vertical="center" wrapText="1"/>
    </xf>
    <xf numFmtId="0" fontId="0" fillId="0" borderId="0" xfId="0"/>
    <xf numFmtId="0" fontId="6" fillId="0" borderId="0" xfId="0" applyFont="1" applyAlignment="1">
      <alignment horizontal="center" vertical="center" wrapText="1"/>
    </xf>
    <xf numFmtId="0" fontId="0" fillId="0" borderId="0" xfId="0"/>
    <xf numFmtId="0" fontId="0" fillId="0" borderId="0" xfId="0"/>
    <xf numFmtId="0" fontId="7" fillId="0" borderId="0" xfId="0" applyFont="1"/>
    <xf numFmtId="0" fontId="9" fillId="0" borderId="0" xfId="0" applyFont="1"/>
    <xf numFmtId="0" fontId="10" fillId="0" borderId="0" xfId="0" applyFont="1" applyBorder="1" applyAlignment="1">
      <alignment vertical="center"/>
    </xf>
    <xf numFmtId="0" fontId="5" fillId="0" borderId="0" xfId="0" applyFont="1" applyAlignment="1">
      <alignment horizontal="left" vertical="center"/>
    </xf>
    <xf numFmtId="0" fontId="10" fillId="0" borderId="0" xfId="0" applyFont="1" applyAlignment="1">
      <alignment vertical="center"/>
    </xf>
    <xf numFmtId="0" fontId="0" fillId="0" borderId="0" xfId="0"/>
    <xf numFmtId="0" fontId="0" fillId="0" borderId="0" xfId="0"/>
    <xf numFmtId="0" fontId="0" fillId="0" borderId="0" xfId="0"/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</cellXfs>
  <cellStyles count="2">
    <cellStyle name="Normal" xfId="0" builtinId="0"/>
    <cellStyle name="Normal 2" xfId="1"/>
  </cellStyles>
  <dxfs count="1"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1"/>
  <sheetViews>
    <sheetView zoomScale="55" zoomScaleNormal="55" workbookViewId="0">
      <selection activeCell="G10" sqref="G10:I10"/>
    </sheetView>
  </sheetViews>
  <sheetFormatPr defaultRowHeight="14.25" x14ac:dyDescent="0.45"/>
  <cols>
    <col min="1" max="1" width="9.73046875" customWidth="1"/>
    <col min="2" max="2" width="8.86328125" customWidth="1"/>
    <col min="3" max="3" width="10.73046875" customWidth="1"/>
    <col min="4" max="4" width="11.265625" customWidth="1"/>
    <col min="5" max="5" width="8.86328125" customWidth="1"/>
    <col min="6" max="6" width="8.3984375" style="16" customWidth="1"/>
    <col min="7" max="8" width="8.86328125" customWidth="1"/>
    <col min="9" max="9" width="13.59765625" customWidth="1"/>
  </cols>
  <sheetData>
    <row r="1" spans="1:9" ht="18" x14ac:dyDescent="0.45">
      <c r="A1" s="2" t="s">
        <v>36</v>
      </c>
      <c r="B1" s="2"/>
      <c r="C1" s="2"/>
      <c r="D1" s="2"/>
    </row>
    <row r="2" spans="1:9" ht="18" x14ac:dyDescent="0.45">
      <c r="A2" s="7" t="s">
        <v>34</v>
      </c>
      <c r="B2" s="3"/>
      <c r="C2" s="3"/>
      <c r="D2" s="3"/>
      <c r="E2" s="1"/>
      <c r="F2" s="1"/>
      <c r="G2" s="3" t="s">
        <v>3</v>
      </c>
      <c r="H2" s="1"/>
      <c r="I2" s="21"/>
    </row>
    <row r="3" spans="1:9" ht="18" x14ac:dyDescent="0.45">
      <c r="A3" s="3"/>
      <c r="B3" s="3"/>
      <c r="C3" s="1"/>
      <c r="D3" s="7"/>
      <c r="E3" s="19"/>
      <c r="F3" s="19"/>
      <c r="G3" s="20" t="s">
        <v>1</v>
      </c>
      <c r="H3" s="1"/>
      <c r="I3" s="5"/>
    </row>
    <row r="4" spans="1:9" ht="18" x14ac:dyDescent="0.45">
      <c r="A4" s="3"/>
      <c r="B4" s="4"/>
      <c r="C4" s="10"/>
      <c r="D4" s="1"/>
      <c r="E4" s="1"/>
      <c r="F4" s="1"/>
      <c r="G4" s="6" t="s">
        <v>10</v>
      </c>
      <c r="H4" s="11"/>
      <c r="I4" s="1"/>
    </row>
    <row r="5" spans="1:9" ht="18" x14ac:dyDescent="0.45">
      <c r="A5" s="4"/>
      <c r="B5" s="4"/>
      <c r="C5" s="4"/>
      <c r="D5" s="3"/>
      <c r="E5" s="1"/>
      <c r="F5" s="1"/>
      <c r="G5" s="1"/>
      <c r="H5" s="6"/>
      <c r="I5" s="1"/>
    </row>
    <row r="6" spans="1:9" ht="14.45" customHeight="1" x14ac:dyDescent="0.45">
      <c r="A6" s="8"/>
      <c r="B6" s="25"/>
      <c r="C6" s="25"/>
      <c r="D6" s="25"/>
    </row>
    <row r="7" spans="1:9" ht="47.25" customHeight="1" x14ac:dyDescent="0.45">
      <c r="A7" s="11" t="s">
        <v>4</v>
      </c>
      <c r="B7" s="11" t="s">
        <v>13</v>
      </c>
      <c r="C7" s="14" t="s">
        <v>35</v>
      </c>
      <c r="D7" s="14" t="s">
        <v>12</v>
      </c>
      <c r="E7" s="14" t="s">
        <v>5</v>
      </c>
      <c r="F7" s="14" t="s">
        <v>11</v>
      </c>
      <c r="G7" s="26" t="s">
        <v>2</v>
      </c>
      <c r="H7" s="26"/>
      <c r="I7" s="26"/>
    </row>
    <row r="8" spans="1:9" ht="45.75" customHeight="1" x14ac:dyDescent="0.45">
      <c r="A8" s="9">
        <v>1</v>
      </c>
      <c r="B8" s="12" t="s">
        <v>16</v>
      </c>
      <c r="C8" s="12" t="s">
        <v>21</v>
      </c>
      <c r="D8" s="12" t="s">
        <v>18</v>
      </c>
      <c r="G8" s="24"/>
      <c r="H8" s="24"/>
      <c r="I8" s="24"/>
    </row>
    <row r="9" spans="1:9" ht="45.75" customHeight="1" x14ac:dyDescent="0.45">
      <c r="A9" s="9">
        <v>2</v>
      </c>
      <c r="B9" s="12" t="s">
        <v>17</v>
      </c>
      <c r="C9" s="12" t="s">
        <v>26</v>
      </c>
      <c r="D9" s="12" t="s">
        <v>19</v>
      </c>
      <c r="G9" s="24"/>
      <c r="H9" s="24"/>
      <c r="I9" s="24"/>
    </row>
    <row r="10" spans="1:9" ht="45.75" customHeight="1" x14ac:dyDescent="0.45">
      <c r="A10" s="9">
        <v>3</v>
      </c>
      <c r="B10" s="12" t="s">
        <v>17</v>
      </c>
      <c r="C10" s="12" t="s">
        <v>24</v>
      </c>
      <c r="D10" s="12" t="s">
        <v>18</v>
      </c>
      <c r="G10" s="24"/>
      <c r="H10" s="24"/>
      <c r="I10" s="24"/>
    </row>
    <row r="11" spans="1:9" ht="45.75" customHeight="1" x14ac:dyDescent="0.45">
      <c r="A11" s="9">
        <v>4</v>
      </c>
      <c r="B11" s="12" t="s">
        <v>16</v>
      </c>
      <c r="C11" s="12" t="s">
        <v>23</v>
      </c>
      <c r="D11" s="12" t="s">
        <v>18</v>
      </c>
      <c r="G11" s="24"/>
      <c r="H11" s="24"/>
      <c r="I11" s="24"/>
    </row>
    <row r="12" spans="1:9" ht="45.75" customHeight="1" x14ac:dyDescent="0.45">
      <c r="A12" s="9">
        <v>5</v>
      </c>
      <c r="B12" s="12" t="s">
        <v>16</v>
      </c>
      <c r="C12" s="12" t="s">
        <v>22</v>
      </c>
      <c r="D12" s="12" t="s">
        <v>18</v>
      </c>
      <c r="G12" s="24"/>
      <c r="H12" s="24"/>
      <c r="I12" s="24"/>
    </row>
    <row r="13" spans="1:9" ht="45.75" customHeight="1" x14ac:dyDescent="0.45">
      <c r="A13" s="9">
        <v>6</v>
      </c>
      <c r="B13" s="12" t="s">
        <v>17</v>
      </c>
      <c r="C13" s="12" t="s">
        <v>25</v>
      </c>
      <c r="D13" s="12" t="s">
        <v>19</v>
      </c>
      <c r="G13" s="24"/>
      <c r="H13" s="24"/>
      <c r="I13" s="24"/>
    </row>
    <row r="14" spans="1:9" ht="45.75" customHeight="1" x14ac:dyDescent="0.45">
      <c r="A14" s="9">
        <v>7</v>
      </c>
      <c r="B14" s="12" t="s">
        <v>17</v>
      </c>
      <c r="C14" s="12" t="s">
        <v>25</v>
      </c>
      <c r="D14" s="12" t="s">
        <v>19</v>
      </c>
      <c r="G14" s="24"/>
      <c r="H14" s="24"/>
      <c r="I14" s="24"/>
    </row>
    <row r="15" spans="1:9" ht="45.75" customHeight="1" x14ac:dyDescent="0.45">
      <c r="A15" s="9">
        <v>8</v>
      </c>
      <c r="B15" s="12" t="s">
        <v>16</v>
      </c>
      <c r="C15" s="12" t="s">
        <v>23</v>
      </c>
      <c r="D15" s="12" t="s">
        <v>18</v>
      </c>
      <c r="G15" s="24"/>
      <c r="H15" s="24"/>
      <c r="I15" s="24"/>
    </row>
    <row r="16" spans="1:9" ht="45.75" customHeight="1" x14ac:dyDescent="0.45">
      <c r="A16" s="9">
        <v>9</v>
      </c>
      <c r="B16" s="12" t="s">
        <v>17</v>
      </c>
      <c r="C16" s="12" t="s">
        <v>26</v>
      </c>
      <c r="D16" s="12" t="s">
        <v>19</v>
      </c>
      <c r="G16" s="24"/>
      <c r="H16" s="24"/>
      <c r="I16" s="24"/>
    </row>
    <row r="17" spans="1:9" ht="45.75" customHeight="1" x14ac:dyDescent="0.45">
      <c r="A17" s="9">
        <v>10</v>
      </c>
      <c r="B17" s="12" t="s">
        <v>17</v>
      </c>
      <c r="C17" s="12" t="s">
        <v>24</v>
      </c>
      <c r="D17" s="12" t="s">
        <v>18</v>
      </c>
      <c r="G17" s="24"/>
      <c r="H17" s="24"/>
      <c r="I17" s="24"/>
    </row>
    <row r="18" spans="1:9" ht="45.75" customHeight="1" x14ac:dyDescent="0.45">
      <c r="A18" s="9">
        <v>11</v>
      </c>
      <c r="B18" s="12" t="s">
        <v>16</v>
      </c>
      <c r="C18" s="12" t="s">
        <v>21</v>
      </c>
      <c r="D18" s="12" t="s">
        <v>18</v>
      </c>
      <c r="G18" s="24"/>
      <c r="H18" s="24"/>
      <c r="I18" s="24"/>
    </row>
    <row r="19" spans="1:9" ht="45.75" customHeight="1" x14ac:dyDescent="0.45">
      <c r="A19" s="9">
        <v>12</v>
      </c>
      <c r="B19" s="12" t="s">
        <v>16</v>
      </c>
      <c r="C19" s="12" t="s">
        <v>22</v>
      </c>
      <c r="D19" s="12" t="s">
        <v>18</v>
      </c>
      <c r="G19" s="24"/>
      <c r="H19" s="24"/>
      <c r="I19" s="24"/>
    </row>
    <row r="20" spans="1:9" ht="45.75" customHeight="1" x14ac:dyDescent="0.45">
      <c r="A20" s="9">
        <v>13</v>
      </c>
      <c r="B20" s="9" t="s">
        <v>17</v>
      </c>
      <c r="C20" s="9" t="s">
        <v>26</v>
      </c>
      <c r="D20" s="9" t="s">
        <v>19</v>
      </c>
      <c r="G20" s="24"/>
      <c r="H20" s="24"/>
      <c r="I20" s="24"/>
    </row>
    <row r="21" spans="1:9" ht="45.75" customHeight="1" x14ac:dyDescent="0.45">
      <c r="A21" s="9">
        <v>14</v>
      </c>
      <c r="B21" s="9" t="s">
        <v>16</v>
      </c>
      <c r="C21" s="9" t="s">
        <v>22</v>
      </c>
      <c r="D21" s="9" t="s">
        <v>18</v>
      </c>
      <c r="G21" s="24"/>
      <c r="H21" s="24"/>
      <c r="I21" s="24"/>
    </row>
    <row r="22" spans="1:9" ht="45.75" customHeight="1" x14ac:dyDescent="0.45">
      <c r="A22" s="9">
        <v>15</v>
      </c>
      <c r="B22" s="9" t="s">
        <v>17</v>
      </c>
      <c r="C22" s="9" t="s">
        <v>24</v>
      </c>
      <c r="D22" s="9" t="s">
        <v>18</v>
      </c>
      <c r="G22" s="24"/>
      <c r="H22" s="24"/>
      <c r="I22" s="24"/>
    </row>
    <row r="23" spans="1:9" ht="45.75" customHeight="1" x14ac:dyDescent="0.45">
      <c r="A23" s="9">
        <v>16</v>
      </c>
      <c r="B23" s="9" t="s">
        <v>17</v>
      </c>
      <c r="C23" s="9" t="s">
        <v>25</v>
      </c>
      <c r="D23" s="9" t="s">
        <v>19</v>
      </c>
      <c r="G23" s="24"/>
      <c r="H23" s="24"/>
      <c r="I23" s="24"/>
    </row>
    <row r="24" spans="1:9" ht="45.75" customHeight="1" x14ac:dyDescent="0.45">
      <c r="A24" s="9">
        <v>17</v>
      </c>
      <c r="B24" s="9" t="s">
        <v>16</v>
      </c>
      <c r="C24" s="9" t="s">
        <v>23</v>
      </c>
      <c r="D24" s="9" t="s">
        <v>18</v>
      </c>
      <c r="G24" s="24"/>
      <c r="H24" s="24"/>
      <c r="I24" s="24"/>
    </row>
    <row r="25" spans="1:9" ht="45.75" customHeight="1" x14ac:dyDescent="0.45">
      <c r="A25" s="9">
        <v>18</v>
      </c>
      <c r="B25" s="9" t="s">
        <v>16</v>
      </c>
      <c r="C25" s="9" t="s">
        <v>21</v>
      </c>
      <c r="D25" s="9" t="s">
        <v>18</v>
      </c>
      <c r="G25" s="24"/>
      <c r="H25" s="24"/>
      <c r="I25" s="24"/>
    </row>
    <row r="26" spans="1:9" ht="45.75" customHeight="1" x14ac:dyDescent="0.45">
      <c r="A26" s="9">
        <v>19</v>
      </c>
      <c r="B26" s="9" t="s">
        <v>17</v>
      </c>
      <c r="C26" s="9" t="s">
        <v>25</v>
      </c>
      <c r="D26" s="9" t="s">
        <v>19</v>
      </c>
      <c r="G26" s="24"/>
      <c r="H26" s="24"/>
      <c r="I26" s="24"/>
    </row>
    <row r="27" spans="1:9" ht="45.75" customHeight="1" x14ac:dyDescent="0.45">
      <c r="A27" s="9">
        <v>20</v>
      </c>
      <c r="B27" s="9" t="s">
        <v>16</v>
      </c>
      <c r="C27" s="9" t="s">
        <v>22</v>
      </c>
      <c r="D27" s="9" t="s">
        <v>18</v>
      </c>
      <c r="G27" s="24"/>
      <c r="H27" s="24"/>
      <c r="I27" s="24"/>
    </row>
    <row r="28" spans="1:9" ht="45.75" customHeight="1" x14ac:dyDescent="0.45">
      <c r="A28" s="9">
        <v>21</v>
      </c>
      <c r="B28" s="9" t="s">
        <v>16</v>
      </c>
      <c r="C28" s="9" t="s">
        <v>23</v>
      </c>
      <c r="D28" s="9" t="s">
        <v>18</v>
      </c>
      <c r="G28" s="24"/>
      <c r="H28" s="24"/>
      <c r="I28" s="24"/>
    </row>
    <row r="29" spans="1:9" ht="45.75" customHeight="1" x14ac:dyDescent="0.45">
      <c r="A29" s="9">
        <v>22</v>
      </c>
      <c r="B29" s="9" t="s">
        <v>17</v>
      </c>
      <c r="C29" s="9" t="s">
        <v>26</v>
      </c>
      <c r="D29" s="9" t="s">
        <v>19</v>
      </c>
      <c r="G29" s="24"/>
      <c r="H29" s="24"/>
      <c r="I29" s="24"/>
    </row>
    <row r="30" spans="1:9" ht="45.75" customHeight="1" x14ac:dyDescent="0.45">
      <c r="A30" s="9">
        <v>23</v>
      </c>
      <c r="B30" s="9" t="s">
        <v>16</v>
      </c>
      <c r="C30" s="9" t="s">
        <v>21</v>
      </c>
      <c r="D30" s="9" t="s">
        <v>18</v>
      </c>
      <c r="G30" s="24"/>
      <c r="H30" s="24"/>
      <c r="I30" s="24"/>
    </row>
    <row r="31" spans="1:9" ht="45.75" customHeight="1" x14ac:dyDescent="0.45">
      <c r="A31" s="9">
        <v>24</v>
      </c>
      <c r="B31" s="9" t="s">
        <v>17</v>
      </c>
      <c r="C31" s="9" t="s">
        <v>24</v>
      </c>
      <c r="D31" s="9" t="s">
        <v>18</v>
      </c>
      <c r="G31" s="24"/>
      <c r="H31" s="24"/>
      <c r="I31" s="24"/>
    </row>
  </sheetData>
  <mergeCells count="26">
    <mergeCell ref="B6:D6"/>
    <mergeCell ref="G18:I18"/>
    <mergeCell ref="G19:I19"/>
    <mergeCell ref="G7:I7"/>
    <mergeCell ref="G8:I8"/>
    <mergeCell ref="G9:I9"/>
    <mergeCell ref="G10:I10"/>
    <mergeCell ref="G11:I11"/>
    <mergeCell ref="G12:I12"/>
    <mergeCell ref="G13:I13"/>
    <mergeCell ref="G14:I14"/>
    <mergeCell ref="G15:I15"/>
    <mergeCell ref="G16:I16"/>
    <mergeCell ref="G17:I17"/>
    <mergeCell ref="G20:I20"/>
    <mergeCell ref="G21:I21"/>
    <mergeCell ref="G22:I22"/>
    <mergeCell ref="G23:I23"/>
    <mergeCell ref="G24:I24"/>
    <mergeCell ref="G30:I30"/>
    <mergeCell ref="G31:I31"/>
    <mergeCell ref="G25:I25"/>
    <mergeCell ref="G26:I26"/>
    <mergeCell ref="G27:I27"/>
    <mergeCell ref="G28:I28"/>
    <mergeCell ref="G29:I29"/>
  </mergeCells>
  <conditionalFormatting sqref="A8 A13 A18 A21 A24 A27 A30">
    <cfRule type="expression" priority="5">
      <formula>"Sheet2!$K$2=Sheet3!$A$1"</formula>
    </cfRule>
  </conditionalFormatting>
  <conditionalFormatting sqref="A8 A13 A18 A21 A24 A27 A30">
    <cfRule type="expression" dxfId="0" priority="4">
      <formula>$A$8=#REF!</formula>
    </cfRule>
  </conditionalFormatting>
  <printOptions gridLines="1"/>
  <pageMargins left="0.7" right="0.7" top="0.75" bottom="0.75" header="0.3" footer="0.3"/>
  <pageSetup orientation="portrait" cellComments="atEnd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37"/>
  <sheetViews>
    <sheetView tabSelected="1" topLeftCell="H1" workbookViewId="0">
      <selection activeCell="P10" sqref="P10"/>
    </sheetView>
  </sheetViews>
  <sheetFormatPr defaultRowHeight="14.25" x14ac:dyDescent="0.45"/>
  <cols>
    <col min="1" max="1" width="9.1328125" style="13"/>
    <col min="3" max="3" width="14.86328125" customWidth="1"/>
    <col min="4" max="4" width="25.3984375" customWidth="1"/>
    <col min="5" max="6" width="25.73046875" customWidth="1"/>
    <col min="16" max="16" width="23.3984375" customWidth="1"/>
    <col min="17" max="17" width="20.1328125" customWidth="1"/>
    <col min="18" max="18" width="22.3984375" customWidth="1"/>
    <col min="19" max="19" width="23.1328125" customWidth="1"/>
    <col min="20" max="20" width="18.86328125" customWidth="1"/>
  </cols>
  <sheetData>
    <row r="1" spans="1:23" s="13" customFormat="1" x14ac:dyDescent="0.45">
      <c r="A1" s="13" t="s">
        <v>7</v>
      </c>
      <c r="B1" s="13" t="s">
        <v>6</v>
      </c>
      <c r="C1" s="13" t="s">
        <v>37</v>
      </c>
      <c r="D1" s="13" t="s">
        <v>13</v>
      </c>
      <c r="E1" s="13" t="s">
        <v>38</v>
      </c>
      <c r="F1" s="13" t="s">
        <v>12</v>
      </c>
      <c r="G1" s="13" t="s">
        <v>0</v>
      </c>
      <c r="I1" s="13" t="s">
        <v>6</v>
      </c>
      <c r="J1" s="13" t="s">
        <v>37</v>
      </c>
      <c r="K1" s="13" t="s">
        <v>13</v>
      </c>
      <c r="L1" s="13" t="s">
        <v>39</v>
      </c>
      <c r="M1" s="13" t="s">
        <v>12</v>
      </c>
      <c r="N1" s="13" t="s">
        <v>8</v>
      </c>
      <c r="O1" s="13" t="s">
        <v>43</v>
      </c>
      <c r="P1" s="17" t="s">
        <v>27</v>
      </c>
      <c r="Q1" s="17" t="s">
        <v>28</v>
      </c>
      <c r="R1" s="17" t="s">
        <v>40</v>
      </c>
      <c r="S1" s="17" t="s">
        <v>41</v>
      </c>
      <c r="T1" s="17" t="s">
        <v>42</v>
      </c>
      <c r="U1" s="17" t="s">
        <v>29</v>
      </c>
      <c r="V1" s="17" t="s">
        <v>30</v>
      </c>
      <c r="W1" s="17" t="s">
        <v>31</v>
      </c>
    </row>
    <row r="2" spans="1:23" x14ac:dyDescent="0.45">
      <c r="A2" s="13">
        <v>1</v>
      </c>
      <c r="B2">
        <v>1</v>
      </c>
      <c r="C2" t="s">
        <v>14</v>
      </c>
      <c r="D2" t="s">
        <v>16</v>
      </c>
      <c r="E2" s="13" t="s">
        <v>15</v>
      </c>
      <c r="F2" t="s">
        <v>18</v>
      </c>
      <c r="G2">
        <f ca="1">RAND()</f>
        <v>0.22648390085029912</v>
      </c>
      <c r="I2">
        <f ca="1">INDEX(B$2:B$37,RANK($G2,$G$2:$G$37))</f>
        <v>27</v>
      </c>
      <c r="J2" s="13" t="str">
        <f ca="1">INDEX(C$2:C$37,RANK($G2,$G$2:$G$37))</f>
        <v>B</v>
      </c>
      <c r="K2" s="13" t="str">
        <f ca="1">INDEX(D$2:D$37,RANK($G2,$G$2:$G$37))</f>
        <v>dry</v>
      </c>
      <c r="L2" s="13" t="str">
        <f ca="1">INDEX(E$2:E$37,RANK($G2,$G$2:$G$37))</f>
        <v>A</v>
      </c>
      <c r="M2" s="13" t="str">
        <f ca="1">INDEX(F$2:F$37,RANK($G2,$G$2:$G$37))</f>
        <v>present</v>
      </c>
      <c r="N2" s="13">
        <v>1</v>
      </c>
      <c r="O2" s="13" t="str">
        <f ca="1">IF(M2="absent",J2,L2)</f>
        <v>A</v>
      </c>
      <c r="P2">
        <f t="array" aca="1" ref="P2" ca="1">MAX(FREQUENCY(IF(K2:K25="dry",ROW(K2:K25)),IF(K2:K25&lt;&gt;"dry",ROW(K2:K25))))</f>
        <v>3</v>
      </c>
      <c r="Q2">
        <f t="array" aca="1" ref="Q2" ca="1">MAX(FREQUENCY(IF(K2:K25="sausage",ROW(K2:K25)),IF(K2:K25&lt;&gt;"sausage",ROW(K2:K25))))</f>
        <v>3</v>
      </c>
      <c r="R2">
        <f t="array" aca="1" ref="R2" ca="1">MAX(FREQUENCY(IF(J2:J25="A",ROW(J2:J25)),IF(J2:J25&lt;&gt;"A",ROW(J2:J25))))</f>
        <v>5</v>
      </c>
      <c r="S2">
        <f t="array" aca="1" ref="S2" ca="1">MAX(FREQUENCY(IF(J2:J25="B",ROW(J2:J25)),IF(J2:J25&lt;&gt;"B",ROW(J2:J25))))</f>
        <v>2</v>
      </c>
      <c r="T2">
        <f t="array" aca="1" ref="T2" ca="1">MAX(FREQUENCY(IF(J2:J25="C",ROW(J2:J25)),IF(J2:J25&lt;&gt;"C",ROW(J2:J25))))</f>
        <v>2</v>
      </c>
      <c r="U2">
        <f t="array" aca="1" ref="U2" ca="1">MAX(FREQUENCY(IF(L2:L25="A",ROW(L2:L25)),IF(L2:L25&lt;&gt;"A",ROW(L2:L25))))</f>
        <v>3</v>
      </c>
      <c r="V2">
        <f t="array" aca="1" ref="V2" ca="1">MAX(FREQUENCY(IF(L2:L25="B",ROW(L2:L25)),IF(L2:L25&lt;&gt;"B",ROW(L2:L25))))</f>
        <v>3</v>
      </c>
      <c r="W2">
        <f t="array" aca="1" ref="W2" ca="1">MAX(FREQUENCY(IF(L2:L25="C",ROW(L2:L25)),IF(L2:L25&lt;&gt;"C",ROW(L2:L25))))</f>
        <v>3</v>
      </c>
    </row>
    <row r="3" spans="1:23" x14ac:dyDescent="0.45">
      <c r="A3" s="13">
        <v>1</v>
      </c>
      <c r="B3">
        <v>2</v>
      </c>
      <c r="C3" t="s">
        <v>14</v>
      </c>
      <c r="D3" s="13" t="s">
        <v>17</v>
      </c>
      <c r="E3" s="13" t="s">
        <v>20</v>
      </c>
      <c r="F3" t="s">
        <v>18</v>
      </c>
      <c r="G3" s="13">
        <f t="shared" ref="G3:G37" ca="1" si="0">RAND()</f>
        <v>0.67636474475133423</v>
      </c>
      <c r="I3" s="23">
        <f t="shared" ref="I3:I25" ca="1" si="1">INDEX(B$2:B$37,RANK($G3,$G$2:$G$37))</f>
        <v>5</v>
      </c>
      <c r="J3" s="23" t="str">
        <f t="shared" ref="J3:J25" ca="1" si="2">INDEX(C$2:C$37,RANK($G3,$G$2:$G$37))</f>
        <v>C</v>
      </c>
      <c r="K3" s="23" t="str">
        <f t="shared" ref="K3:K25" ca="1" si="3">INDEX(D$2:D$37,RANK($G3,$G$2:$G$37))</f>
        <v>dry</v>
      </c>
      <c r="L3" s="23" t="str">
        <f t="shared" ref="L3:L25" ca="1" si="4">INDEX(E$2:E$37,RANK($G3,$G$2:$G$37))</f>
        <v>A</v>
      </c>
      <c r="M3" s="23" t="str">
        <f t="shared" ref="M3:M25" ca="1" si="5">INDEX(F$2:F$37,RANK($G3,$G$2:$G$37))</f>
        <v>absent</v>
      </c>
      <c r="N3" s="23">
        <v>2</v>
      </c>
      <c r="O3" s="23" t="str">
        <f t="shared" ref="O3:O25" ca="1" si="6">IF(M3="absent",J3,L3)</f>
        <v>C</v>
      </c>
    </row>
    <row r="4" spans="1:23" x14ac:dyDescent="0.45">
      <c r="A4" s="13">
        <v>1</v>
      </c>
      <c r="B4">
        <v>3</v>
      </c>
      <c r="C4" t="s">
        <v>15</v>
      </c>
      <c r="D4" s="13" t="s">
        <v>16</v>
      </c>
      <c r="E4" s="13" t="s">
        <v>14</v>
      </c>
      <c r="F4" t="s">
        <v>18</v>
      </c>
      <c r="G4" s="13">
        <f t="shared" ca="1" si="0"/>
        <v>6.467687271897371E-2</v>
      </c>
      <c r="I4" s="23">
        <f t="shared" ca="1" si="1"/>
        <v>34</v>
      </c>
      <c r="J4" s="23" t="str">
        <f t="shared" ca="1" si="2"/>
        <v>B</v>
      </c>
      <c r="K4" s="23" t="str">
        <f t="shared" ca="1" si="3"/>
        <v>sausage</v>
      </c>
      <c r="L4" s="23" t="str">
        <f t="shared" ca="1" si="4"/>
        <v>A</v>
      </c>
      <c r="M4" s="23" t="str">
        <f t="shared" ca="1" si="5"/>
        <v>present</v>
      </c>
      <c r="N4" s="23">
        <v>3</v>
      </c>
      <c r="O4" s="23" t="str">
        <f t="shared" ca="1" si="6"/>
        <v>A</v>
      </c>
    </row>
    <row r="5" spans="1:23" x14ac:dyDescent="0.45">
      <c r="A5" s="13">
        <v>1</v>
      </c>
      <c r="B5">
        <v>4</v>
      </c>
      <c r="C5" t="s">
        <v>15</v>
      </c>
      <c r="D5" s="13" t="s">
        <v>17</v>
      </c>
      <c r="E5" s="13" t="s">
        <v>20</v>
      </c>
      <c r="F5" t="s">
        <v>18</v>
      </c>
      <c r="G5" s="23">
        <f t="shared" ca="1" si="0"/>
        <v>0.39144595939931626</v>
      </c>
      <c r="I5" s="23">
        <f t="shared" ca="1" si="1"/>
        <v>20</v>
      </c>
      <c r="J5" s="23" t="str">
        <f t="shared" ca="1" si="2"/>
        <v>A</v>
      </c>
      <c r="K5" s="23" t="str">
        <f t="shared" ca="1" si="3"/>
        <v>sausage</v>
      </c>
      <c r="L5" s="23" t="str">
        <f t="shared" ca="1" si="4"/>
        <v>B</v>
      </c>
      <c r="M5" s="23" t="str">
        <f t="shared" ca="1" si="5"/>
        <v>present</v>
      </c>
      <c r="N5" s="23">
        <v>4</v>
      </c>
      <c r="O5" s="23" t="str">
        <f t="shared" ca="1" si="6"/>
        <v>B</v>
      </c>
      <c r="P5" s="13" t="s">
        <v>32</v>
      </c>
      <c r="Q5" s="22" t="s">
        <v>33</v>
      </c>
      <c r="R5" s="13" t="s">
        <v>44</v>
      </c>
      <c r="S5" s="13" t="s">
        <v>45</v>
      </c>
      <c r="T5" t="s">
        <v>46</v>
      </c>
    </row>
    <row r="6" spans="1:23" x14ac:dyDescent="0.45">
      <c r="A6" s="13">
        <v>1</v>
      </c>
      <c r="B6">
        <v>5</v>
      </c>
      <c r="C6" t="s">
        <v>20</v>
      </c>
      <c r="D6" s="23" t="s">
        <v>16</v>
      </c>
      <c r="E6" t="s">
        <v>14</v>
      </c>
      <c r="F6" s="13" t="s">
        <v>19</v>
      </c>
      <c r="G6" s="23">
        <f t="shared" ca="1" si="0"/>
        <v>0.36775830868332238</v>
      </c>
      <c r="I6" s="23">
        <f t="shared" ca="1" si="1"/>
        <v>23</v>
      </c>
      <c r="J6" s="23" t="str">
        <f t="shared" ca="1" si="2"/>
        <v>C</v>
      </c>
      <c r="K6" s="23" t="str">
        <f t="shared" ca="1" si="3"/>
        <v>dry</v>
      </c>
      <c r="L6" s="23" t="str">
        <f t="shared" ca="1" si="4"/>
        <v>B</v>
      </c>
      <c r="M6" s="23" t="str">
        <f t="shared" ca="1" si="5"/>
        <v>present</v>
      </c>
      <c r="N6" s="23">
        <v>5</v>
      </c>
      <c r="O6" s="23" t="str">
        <f t="shared" ca="1" si="6"/>
        <v>B</v>
      </c>
      <c r="P6" s="13">
        <f t="array" aca="1" ref="P6" ca="1">MAX(FREQUENCY(IF(M2:M25="absent",ROW(M2:M25)),IF(M2:M25&lt;&gt;"absent",ROW(M2:M25))))</f>
        <v>2</v>
      </c>
      <c r="Q6" s="13">
        <f t="array" aca="1" ref="Q6" ca="1">MAX(FREQUENCY(IF(M2:M25="present",ROW(M2:M25)),IF(M2:M25&lt;&gt;"present",ROW(M2:M25))))</f>
        <v>4</v>
      </c>
      <c r="R6" s="13">
        <f t="array" aca="1" ref="R6" ca="1">MAX(FREQUENCY(IF(O2:O25="A",ROW(O2:O25)),IF(O2:O25&lt;&gt;"A",ROW(O2:O25))))</f>
        <v>3</v>
      </c>
      <c r="S6" s="13">
        <f t="array" aca="1" ref="S6" ca="1">MAX(FREQUENCY(IF(O2:O25="B",ROW(O2:O25)),IF(O2:O25&lt;&gt;"B",ROW(O2:O25))))</f>
        <v>2</v>
      </c>
      <c r="T6">
        <f t="array" aca="1" ref="T6" ca="1">MAX(FREQUENCY(IF(O2:O25="C",ROW(O2:O25)),IF(O2:O25&lt;&gt;"C",ROW(O2:O25))))</f>
        <v>4</v>
      </c>
    </row>
    <row r="7" spans="1:23" x14ac:dyDescent="0.45">
      <c r="A7" s="13">
        <v>1</v>
      </c>
      <c r="B7">
        <v>6</v>
      </c>
      <c r="C7" t="s">
        <v>20</v>
      </c>
      <c r="D7" s="13" t="s">
        <v>17</v>
      </c>
      <c r="E7" t="s">
        <v>15</v>
      </c>
      <c r="F7" s="13" t="s">
        <v>19</v>
      </c>
      <c r="G7" s="23">
        <f t="shared" ca="1" si="0"/>
        <v>0.25066295331348565</v>
      </c>
      <c r="I7" s="23">
        <f t="shared" ca="1" si="1"/>
        <v>25</v>
      </c>
      <c r="J7" s="23" t="str">
        <f t="shared" ca="1" si="2"/>
        <v>A</v>
      </c>
      <c r="K7" s="23" t="str">
        <f t="shared" ca="1" si="3"/>
        <v>dry</v>
      </c>
      <c r="L7" s="23" t="str">
        <f t="shared" ca="1" si="4"/>
        <v>B</v>
      </c>
      <c r="M7" s="23" t="str">
        <f t="shared" ca="1" si="5"/>
        <v>absent</v>
      </c>
      <c r="N7" s="23">
        <v>6</v>
      </c>
      <c r="O7" s="23" t="str">
        <f t="shared" ca="1" si="6"/>
        <v>A</v>
      </c>
      <c r="P7">
        <f t="array" aca="1" ref="P7" ca="1">MAX(FREQUENCY(IF(O2:O7="A",ROW(O2:O7)),IF(O2:O7&lt;&gt;"A",ROW(O2:O7))))</f>
        <v>1</v>
      </c>
      <c r="Q7">
        <f t="array" aca="1" ref="Q7" ca="1">MAX(FREQUENCY(IF(O2:O7="B",ROW(O2:O7)),IF(O2:O7&lt;&gt;"B",ROW(O2:O7))))</f>
        <v>2</v>
      </c>
      <c r="R7">
        <f t="array" aca="1" ref="R7" ca="1">MAX(FREQUENCY(IF(O8:O13="A",ROW(O8:O13)),IF(O8:O13&lt;&gt;"A",ROW(O8:O13))))</f>
        <v>1</v>
      </c>
      <c r="S7">
        <f t="array" aca="1" ref="S7" ca="1">MAX(FREQUENCY(IF(O8:O13="B",ROW(O8:O13)),IF(O8:O13&lt;&gt;"B",ROW(O8:O13))))</f>
        <v>1</v>
      </c>
      <c r="T7">
        <f t="array" aca="1" ref="T7" ca="1">MAX(FREQUENCY(IF(O14:O19="A",ROW(O14:O19)),IF(O14:O19&lt;&gt;"A",ROW(O14:O19))))</f>
        <v>1</v>
      </c>
      <c r="U7">
        <f t="array" aca="1" ref="U7" ca="1">MAX(FREQUENCY(IF(O14:O19="B",ROW(O14:O19)),IF(O14:O19&lt;&gt;"B",ROW(O14:O19))))</f>
        <v>1</v>
      </c>
    </row>
    <row r="8" spans="1:23" x14ac:dyDescent="0.45">
      <c r="B8" s="23">
        <v>7</v>
      </c>
      <c r="C8" s="23" t="s">
        <v>14</v>
      </c>
      <c r="D8" s="23" t="s">
        <v>16</v>
      </c>
      <c r="E8" s="23" t="s">
        <v>20</v>
      </c>
      <c r="F8" s="23" t="s">
        <v>18</v>
      </c>
      <c r="G8" s="23">
        <f t="shared" ca="1" si="0"/>
        <v>0.20340298103884158</v>
      </c>
      <c r="I8" s="23">
        <f t="shared" ca="1" si="1"/>
        <v>28</v>
      </c>
      <c r="J8" s="23" t="str">
        <f t="shared" ca="1" si="2"/>
        <v>B</v>
      </c>
      <c r="K8" s="23" t="str">
        <f t="shared" ca="1" si="3"/>
        <v>sausage</v>
      </c>
      <c r="L8" s="23" t="str">
        <f t="shared" ca="1" si="4"/>
        <v>C</v>
      </c>
      <c r="M8" s="23" t="str">
        <f t="shared" ca="1" si="5"/>
        <v>present</v>
      </c>
      <c r="N8" s="23">
        <v>7</v>
      </c>
      <c r="O8" s="23" t="str">
        <f t="shared" ca="1" si="6"/>
        <v>C</v>
      </c>
    </row>
    <row r="9" spans="1:23" x14ac:dyDescent="0.45">
      <c r="B9" s="23">
        <v>8</v>
      </c>
      <c r="C9" s="23" t="s">
        <v>14</v>
      </c>
      <c r="D9" s="23" t="s">
        <v>17</v>
      </c>
      <c r="E9" s="23" t="s">
        <v>15</v>
      </c>
      <c r="F9" s="23" t="s">
        <v>18</v>
      </c>
      <c r="G9" s="23">
        <f t="shared" ca="1" si="0"/>
        <v>0.30088999424896534</v>
      </c>
      <c r="I9" s="23">
        <f t="shared" ca="1" si="1"/>
        <v>24</v>
      </c>
      <c r="J9" s="23" t="str">
        <f t="shared" ca="1" si="2"/>
        <v>C</v>
      </c>
      <c r="K9" s="23" t="str">
        <f t="shared" ca="1" si="3"/>
        <v>sausage</v>
      </c>
      <c r="L9" s="23" t="str">
        <f t="shared" ca="1" si="4"/>
        <v>A</v>
      </c>
      <c r="M9" s="23" t="str">
        <f t="shared" ca="1" si="5"/>
        <v>present</v>
      </c>
      <c r="N9" s="23">
        <v>8</v>
      </c>
      <c r="O9" s="23" t="str">
        <f t="shared" ca="1" si="6"/>
        <v>A</v>
      </c>
      <c r="P9" t="s">
        <v>9</v>
      </c>
    </row>
    <row r="10" spans="1:23" x14ac:dyDescent="0.45">
      <c r="B10" s="23">
        <v>9</v>
      </c>
      <c r="C10" s="23" t="s">
        <v>15</v>
      </c>
      <c r="D10" s="23" t="s">
        <v>16</v>
      </c>
      <c r="E10" s="23" t="s">
        <v>20</v>
      </c>
      <c r="F10" s="23" t="s">
        <v>18</v>
      </c>
      <c r="G10" s="23">
        <f t="shared" ca="1" si="0"/>
        <v>0.94311173547332161</v>
      </c>
      <c r="I10" s="23">
        <f t="shared" ca="1" si="1"/>
        <v>1</v>
      </c>
      <c r="J10" s="23" t="str">
        <f t="shared" ca="1" si="2"/>
        <v>A</v>
      </c>
      <c r="K10" s="23" t="str">
        <f t="shared" ca="1" si="3"/>
        <v>dry</v>
      </c>
      <c r="L10" s="23" t="str">
        <f t="shared" ca="1" si="4"/>
        <v>B</v>
      </c>
      <c r="M10" s="23" t="str">
        <f t="shared" ca="1" si="5"/>
        <v>present</v>
      </c>
      <c r="N10" s="23">
        <v>9</v>
      </c>
      <c r="O10" s="23" t="str">
        <f t="shared" ca="1" si="6"/>
        <v>B</v>
      </c>
      <c r="P10" s="18">
        <f t="array" aca="1" ref="P10" ca="1">IF(AND(P6&lt;3, Q6&lt;4,P2:W2&lt;4, R6:T6&lt;3, EXACT(P7,2), EXACT(Q7,2), EXACT(R7,2), EXACT(T7,2), EXACT(S7,2), EXACT(U7,2)),1,0)</f>
        <v>0</v>
      </c>
    </row>
    <row r="11" spans="1:23" x14ac:dyDescent="0.45">
      <c r="B11" s="23">
        <v>10</v>
      </c>
      <c r="C11" s="23" t="s">
        <v>15</v>
      </c>
      <c r="D11" s="23" t="s">
        <v>17</v>
      </c>
      <c r="E11" s="23" t="s">
        <v>14</v>
      </c>
      <c r="F11" s="23" t="s">
        <v>18</v>
      </c>
      <c r="G11" s="23">
        <f t="shared" ca="1" si="0"/>
        <v>0.10387422469419261</v>
      </c>
      <c r="I11" s="23">
        <f t="shared" ca="1" si="1"/>
        <v>31</v>
      </c>
      <c r="J11" s="23" t="str">
        <f t="shared" ca="1" si="2"/>
        <v>A</v>
      </c>
      <c r="K11" s="23" t="str">
        <f t="shared" ca="1" si="3"/>
        <v>dry</v>
      </c>
      <c r="L11" s="23" t="str">
        <f t="shared" ca="1" si="4"/>
        <v>C</v>
      </c>
      <c r="M11" s="23" t="str">
        <f t="shared" ca="1" si="5"/>
        <v>absent</v>
      </c>
      <c r="N11" s="23">
        <v>10</v>
      </c>
      <c r="O11" s="23" t="str">
        <f t="shared" ca="1" si="6"/>
        <v>A</v>
      </c>
    </row>
    <row r="12" spans="1:23" x14ac:dyDescent="0.45">
      <c r="B12" s="23">
        <v>11</v>
      </c>
      <c r="C12" s="23" t="s">
        <v>20</v>
      </c>
      <c r="D12" s="23" t="s">
        <v>16</v>
      </c>
      <c r="E12" s="23" t="s">
        <v>15</v>
      </c>
      <c r="F12" s="23" t="s">
        <v>19</v>
      </c>
      <c r="G12" s="23">
        <f t="shared" ca="1" si="0"/>
        <v>0.67370757126891356</v>
      </c>
      <c r="I12" s="23">
        <f t="shared" ca="1" si="1"/>
        <v>6</v>
      </c>
      <c r="J12" s="23" t="str">
        <f t="shared" ca="1" si="2"/>
        <v>C</v>
      </c>
      <c r="K12" s="23" t="str">
        <f t="shared" ca="1" si="3"/>
        <v>sausage</v>
      </c>
      <c r="L12" s="23" t="str">
        <f t="shared" ca="1" si="4"/>
        <v>B</v>
      </c>
      <c r="M12" s="23" t="str">
        <f t="shared" ca="1" si="5"/>
        <v>absent</v>
      </c>
      <c r="N12" s="23">
        <v>11</v>
      </c>
      <c r="O12" s="23" t="str">
        <f t="shared" ca="1" si="6"/>
        <v>C</v>
      </c>
    </row>
    <row r="13" spans="1:23" x14ac:dyDescent="0.45">
      <c r="B13" s="23">
        <v>12</v>
      </c>
      <c r="C13" s="23" t="s">
        <v>20</v>
      </c>
      <c r="D13" s="23" t="s">
        <v>17</v>
      </c>
      <c r="E13" s="23" t="s">
        <v>14</v>
      </c>
      <c r="F13" s="23" t="s">
        <v>19</v>
      </c>
      <c r="G13" s="23">
        <f t="shared" ca="1" si="0"/>
        <v>6.5308497959020384E-2</v>
      </c>
      <c r="I13" s="23">
        <f t="shared" ca="1" si="1"/>
        <v>33</v>
      </c>
      <c r="J13" s="23" t="str">
        <f t="shared" ca="1" si="2"/>
        <v>B</v>
      </c>
      <c r="K13" s="23" t="str">
        <f t="shared" ca="1" si="3"/>
        <v>dry</v>
      </c>
      <c r="L13" s="23" t="str">
        <f t="shared" ca="1" si="4"/>
        <v>C</v>
      </c>
      <c r="M13" s="23" t="str">
        <f t="shared" ca="1" si="5"/>
        <v>present</v>
      </c>
      <c r="N13" s="23">
        <v>12</v>
      </c>
      <c r="O13" s="23" t="str">
        <f t="shared" ca="1" si="6"/>
        <v>C</v>
      </c>
      <c r="P13" s="17"/>
      <c r="Q13" s="17"/>
      <c r="R13" s="17"/>
      <c r="S13" s="17"/>
    </row>
    <row r="14" spans="1:23" x14ac:dyDescent="0.45">
      <c r="B14" s="23">
        <v>13</v>
      </c>
      <c r="C14" s="23" t="s">
        <v>14</v>
      </c>
      <c r="D14" s="23" t="s">
        <v>16</v>
      </c>
      <c r="E14" s="23" t="s">
        <v>15</v>
      </c>
      <c r="F14" s="23" t="s">
        <v>18</v>
      </c>
      <c r="G14" s="23">
        <f t="shared" ca="1" si="0"/>
        <v>0.45815028499126809</v>
      </c>
      <c r="I14" s="23">
        <f t="shared" ca="1" si="1"/>
        <v>14</v>
      </c>
      <c r="J14" s="23" t="str">
        <f t="shared" ca="1" si="2"/>
        <v>A</v>
      </c>
      <c r="K14" s="23" t="str">
        <f t="shared" ca="1" si="3"/>
        <v>sausage</v>
      </c>
      <c r="L14" s="23" t="str">
        <f t="shared" ca="1" si="4"/>
        <v>C</v>
      </c>
      <c r="M14" s="23" t="str">
        <f t="shared" ca="1" si="5"/>
        <v>present</v>
      </c>
      <c r="N14" s="23">
        <v>13</v>
      </c>
      <c r="O14" s="23" t="str">
        <f t="shared" ca="1" si="6"/>
        <v>C</v>
      </c>
      <c r="P14" s="15"/>
      <c r="Q14" s="15"/>
    </row>
    <row r="15" spans="1:23" x14ac:dyDescent="0.45">
      <c r="B15" s="23">
        <v>14</v>
      </c>
      <c r="C15" s="23" t="s">
        <v>14</v>
      </c>
      <c r="D15" s="23" t="s">
        <v>17</v>
      </c>
      <c r="E15" s="23" t="s">
        <v>20</v>
      </c>
      <c r="F15" s="23" t="s">
        <v>18</v>
      </c>
      <c r="G15" s="23">
        <f t="shared" ca="1" si="0"/>
        <v>0.8180864732237727</v>
      </c>
      <c r="I15" s="23">
        <f t="shared" ca="1" si="1"/>
        <v>2</v>
      </c>
      <c r="J15" s="23" t="str">
        <f t="shared" ca="1" si="2"/>
        <v>A</v>
      </c>
      <c r="K15" s="23" t="str">
        <f t="shared" ca="1" si="3"/>
        <v>sausage</v>
      </c>
      <c r="L15" s="23" t="str">
        <f t="shared" ca="1" si="4"/>
        <v>C</v>
      </c>
      <c r="M15" s="23" t="str">
        <f t="shared" ca="1" si="5"/>
        <v>present</v>
      </c>
      <c r="N15" s="23">
        <v>14</v>
      </c>
      <c r="O15" s="23" t="str">
        <f t="shared" ca="1" si="6"/>
        <v>C</v>
      </c>
    </row>
    <row r="16" spans="1:23" x14ac:dyDescent="0.45">
      <c r="B16" s="23">
        <v>15</v>
      </c>
      <c r="C16" s="23" t="s">
        <v>15</v>
      </c>
      <c r="D16" s="23" t="s">
        <v>16</v>
      </c>
      <c r="E16" s="23" t="s">
        <v>14</v>
      </c>
      <c r="F16" s="23" t="s">
        <v>19</v>
      </c>
      <c r="G16" s="23">
        <f t="shared" ca="1" si="0"/>
        <v>0.50674880403918221</v>
      </c>
      <c r="I16" s="23">
        <f t="shared" ca="1" si="1"/>
        <v>13</v>
      </c>
      <c r="J16" s="23" t="str">
        <f t="shared" ca="1" si="2"/>
        <v>A</v>
      </c>
      <c r="K16" s="23" t="str">
        <f t="shared" ca="1" si="3"/>
        <v>dry</v>
      </c>
      <c r="L16" s="23" t="str">
        <f t="shared" ca="1" si="4"/>
        <v>B</v>
      </c>
      <c r="M16" s="23" t="str">
        <f t="shared" ca="1" si="5"/>
        <v>present</v>
      </c>
      <c r="N16" s="23">
        <v>15</v>
      </c>
      <c r="O16" s="23" t="str">
        <f t="shared" ca="1" si="6"/>
        <v>B</v>
      </c>
    </row>
    <row r="17" spans="2:15" x14ac:dyDescent="0.45">
      <c r="B17" s="23">
        <v>16</v>
      </c>
      <c r="C17" s="23" t="s">
        <v>15</v>
      </c>
      <c r="D17" s="23" t="s">
        <v>17</v>
      </c>
      <c r="E17" s="23" t="s">
        <v>20</v>
      </c>
      <c r="F17" s="23" t="s">
        <v>19</v>
      </c>
      <c r="G17" s="23">
        <f t="shared" ca="1" si="0"/>
        <v>0.24667894461290574</v>
      </c>
      <c r="I17" s="23">
        <f t="shared" ca="1" si="1"/>
        <v>26</v>
      </c>
      <c r="J17" s="23" t="str">
        <f t="shared" ca="1" si="2"/>
        <v>A</v>
      </c>
      <c r="K17" s="23" t="str">
        <f t="shared" ca="1" si="3"/>
        <v>sausage</v>
      </c>
      <c r="L17" s="23" t="str">
        <f t="shared" ca="1" si="4"/>
        <v>C</v>
      </c>
      <c r="M17" s="23" t="str">
        <f t="shared" ca="1" si="5"/>
        <v>absent</v>
      </c>
      <c r="N17" s="23">
        <v>16</v>
      </c>
      <c r="O17" s="23" t="str">
        <f t="shared" ca="1" si="6"/>
        <v>A</v>
      </c>
    </row>
    <row r="18" spans="2:15" x14ac:dyDescent="0.45">
      <c r="B18" s="23">
        <v>17</v>
      </c>
      <c r="C18" s="23" t="s">
        <v>20</v>
      </c>
      <c r="D18" s="23" t="s">
        <v>16</v>
      </c>
      <c r="E18" s="23" t="s">
        <v>14</v>
      </c>
      <c r="F18" s="23" t="s">
        <v>18</v>
      </c>
      <c r="G18" s="23">
        <f t="shared" ca="1" si="0"/>
        <v>0.62780856450174549</v>
      </c>
      <c r="I18" s="23">
        <f t="shared" ca="1" si="1"/>
        <v>8</v>
      </c>
      <c r="J18" s="23" t="str">
        <f t="shared" ca="1" si="2"/>
        <v>A</v>
      </c>
      <c r="K18" s="23" t="str">
        <f t="shared" ca="1" si="3"/>
        <v>sausage</v>
      </c>
      <c r="L18" s="23" t="str">
        <f t="shared" ca="1" si="4"/>
        <v>B</v>
      </c>
      <c r="M18" s="23" t="str">
        <f t="shared" ca="1" si="5"/>
        <v>present</v>
      </c>
      <c r="N18" s="23">
        <v>17</v>
      </c>
      <c r="O18" s="23" t="str">
        <f t="shared" ca="1" si="6"/>
        <v>B</v>
      </c>
    </row>
    <row r="19" spans="2:15" x14ac:dyDescent="0.45">
      <c r="B19" s="23">
        <v>18</v>
      </c>
      <c r="C19" s="23" t="s">
        <v>20</v>
      </c>
      <c r="D19" s="23" t="s">
        <v>17</v>
      </c>
      <c r="E19" s="23" t="s">
        <v>15</v>
      </c>
      <c r="F19" s="23" t="s">
        <v>18</v>
      </c>
      <c r="G19" s="23">
        <f t="shared" ca="1" si="0"/>
        <v>0.55162398335369134</v>
      </c>
      <c r="I19" s="23">
        <f t="shared" ca="1" si="1"/>
        <v>12</v>
      </c>
      <c r="J19" s="23" t="str">
        <f t="shared" ca="1" si="2"/>
        <v>C</v>
      </c>
      <c r="K19" s="23" t="str">
        <f t="shared" ca="1" si="3"/>
        <v>sausage</v>
      </c>
      <c r="L19" s="23" t="str">
        <f t="shared" ca="1" si="4"/>
        <v>A</v>
      </c>
      <c r="M19" s="23" t="str">
        <f t="shared" ca="1" si="5"/>
        <v>absent</v>
      </c>
      <c r="N19" s="23">
        <v>18</v>
      </c>
      <c r="O19" s="23" t="str">
        <f t="shared" ca="1" si="6"/>
        <v>C</v>
      </c>
    </row>
    <row r="20" spans="2:15" x14ac:dyDescent="0.45">
      <c r="B20" s="23">
        <v>19</v>
      </c>
      <c r="C20" s="23" t="s">
        <v>14</v>
      </c>
      <c r="D20" s="23" t="s">
        <v>16</v>
      </c>
      <c r="E20" s="23" t="s">
        <v>20</v>
      </c>
      <c r="F20" s="23" t="s">
        <v>18</v>
      </c>
      <c r="G20" s="23">
        <f t="shared" ca="1" si="0"/>
        <v>0.61502469000996152</v>
      </c>
      <c r="I20" s="23">
        <f t="shared" ca="1" si="1"/>
        <v>9</v>
      </c>
      <c r="J20" s="23" t="str">
        <f t="shared" ca="1" si="2"/>
        <v>B</v>
      </c>
      <c r="K20" s="23" t="str">
        <f t="shared" ca="1" si="3"/>
        <v>dry</v>
      </c>
      <c r="L20" s="23" t="str">
        <f t="shared" ca="1" si="4"/>
        <v>C</v>
      </c>
      <c r="M20" s="23" t="str">
        <f t="shared" ca="1" si="5"/>
        <v>present</v>
      </c>
      <c r="N20" s="23">
        <v>19</v>
      </c>
      <c r="O20" s="23" t="str">
        <f t="shared" ca="1" si="6"/>
        <v>C</v>
      </c>
    </row>
    <row r="21" spans="2:15" x14ac:dyDescent="0.45">
      <c r="B21" s="23">
        <v>20</v>
      </c>
      <c r="C21" s="23" t="s">
        <v>14</v>
      </c>
      <c r="D21" s="23" t="s">
        <v>17</v>
      </c>
      <c r="E21" s="23" t="s">
        <v>15</v>
      </c>
      <c r="F21" s="23" t="s">
        <v>18</v>
      </c>
      <c r="G21" s="23">
        <f t="shared" ca="1" si="0"/>
        <v>0.6061049509380021</v>
      </c>
      <c r="I21" s="23">
        <f t="shared" ca="1" si="1"/>
        <v>10</v>
      </c>
      <c r="J21" s="23" t="str">
        <f t="shared" ca="1" si="2"/>
        <v>B</v>
      </c>
      <c r="K21" s="23" t="str">
        <f t="shared" ca="1" si="3"/>
        <v>sausage</v>
      </c>
      <c r="L21" s="23" t="str">
        <f t="shared" ca="1" si="4"/>
        <v>A</v>
      </c>
      <c r="M21" s="23" t="str">
        <f t="shared" ca="1" si="5"/>
        <v>present</v>
      </c>
      <c r="N21" s="23">
        <v>20</v>
      </c>
      <c r="O21" s="23" t="str">
        <f t="shared" ca="1" si="6"/>
        <v>A</v>
      </c>
    </row>
    <row r="22" spans="2:15" x14ac:dyDescent="0.45">
      <c r="B22" s="23">
        <v>21</v>
      </c>
      <c r="C22" s="23" t="s">
        <v>15</v>
      </c>
      <c r="D22" s="23" t="s">
        <v>16</v>
      </c>
      <c r="E22" s="23" t="s">
        <v>20</v>
      </c>
      <c r="F22" s="23" t="s">
        <v>19</v>
      </c>
      <c r="G22" s="23">
        <f t="shared" ca="1" si="0"/>
        <v>3.790948523073967E-2</v>
      </c>
      <c r="I22" s="23">
        <f t="shared" ca="1" si="1"/>
        <v>36</v>
      </c>
      <c r="J22" s="23" t="str">
        <f t="shared" ca="1" si="2"/>
        <v>C</v>
      </c>
      <c r="K22" s="23" t="str">
        <f t="shared" ca="1" si="3"/>
        <v>sausage</v>
      </c>
      <c r="L22" s="23" t="str">
        <f t="shared" ca="1" si="4"/>
        <v>A</v>
      </c>
      <c r="M22" s="23" t="str">
        <f t="shared" ca="1" si="5"/>
        <v>present</v>
      </c>
      <c r="N22" s="23">
        <v>21</v>
      </c>
      <c r="O22" s="23" t="str">
        <f t="shared" ca="1" si="6"/>
        <v>A</v>
      </c>
    </row>
    <row r="23" spans="2:15" x14ac:dyDescent="0.45">
      <c r="B23" s="23">
        <v>22</v>
      </c>
      <c r="C23" s="23" t="s">
        <v>15</v>
      </c>
      <c r="D23" s="23" t="s">
        <v>17</v>
      </c>
      <c r="E23" s="23" t="s">
        <v>14</v>
      </c>
      <c r="F23" s="23" t="s">
        <v>19</v>
      </c>
      <c r="G23" s="23">
        <f t="shared" ca="1" si="0"/>
        <v>0.430422501084053</v>
      </c>
      <c r="I23" s="23">
        <f t="shared" ca="1" si="1"/>
        <v>17</v>
      </c>
      <c r="J23" s="23" t="str">
        <f t="shared" ca="1" si="2"/>
        <v>C</v>
      </c>
      <c r="K23" s="23" t="str">
        <f t="shared" ca="1" si="3"/>
        <v>dry</v>
      </c>
      <c r="L23" s="23" t="str">
        <f t="shared" ca="1" si="4"/>
        <v>A</v>
      </c>
      <c r="M23" s="23" t="str">
        <f t="shared" ca="1" si="5"/>
        <v>present</v>
      </c>
      <c r="N23" s="23">
        <v>22</v>
      </c>
      <c r="O23" s="23" t="str">
        <f t="shared" ca="1" si="6"/>
        <v>A</v>
      </c>
    </row>
    <row r="24" spans="2:15" x14ac:dyDescent="0.45">
      <c r="B24" s="23">
        <v>23</v>
      </c>
      <c r="C24" s="23" t="s">
        <v>20</v>
      </c>
      <c r="D24" s="23" t="s">
        <v>16</v>
      </c>
      <c r="E24" s="23" t="s">
        <v>15</v>
      </c>
      <c r="F24" s="23" t="s">
        <v>18</v>
      </c>
      <c r="G24" s="23">
        <f t="shared" ca="1" si="0"/>
        <v>0.38898361944987747</v>
      </c>
      <c r="I24" s="23">
        <f t="shared" ca="1" si="1"/>
        <v>21</v>
      </c>
      <c r="J24" s="23" t="str">
        <f t="shared" ca="1" si="2"/>
        <v>B</v>
      </c>
      <c r="K24" s="23" t="str">
        <f t="shared" ca="1" si="3"/>
        <v>dry</v>
      </c>
      <c r="L24" s="23" t="str">
        <f t="shared" ca="1" si="4"/>
        <v>C</v>
      </c>
      <c r="M24" s="23" t="str">
        <f t="shared" ca="1" si="5"/>
        <v>absent</v>
      </c>
      <c r="N24" s="23">
        <v>23</v>
      </c>
      <c r="O24" s="23" t="str">
        <f t="shared" ca="1" si="6"/>
        <v>B</v>
      </c>
    </row>
    <row r="25" spans="2:15" x14ac:dyDescent="0.45">
      <c r="B25" s="23">
        <v>24</v>
      </c>
      <c r="C25" s="23" t="s">
        <v>20</v>
      </c>
      <c r="D25" s="23" t="s">
        <v>17</v>
      </c>
      <c r="E25" s="23" t="s">
        <v>14</v>
      </c>
      <c r="F25" s="23" t="s">
        <v>18</v>
      </c>
      <c r="G25" s="23">
        <f t="shared" ca="1" si="0"/>
        <v>5.6058911632700825E-2</v>
      </c>
      <c r="I25" s="23">
        <f t="shared" ca="1" si="1"/>
        <v>35</v>
      </c>
      <c r="J25" s="23" t="str">
        <f t="shared" ca="1" si="2"/>
        <v>C</v>
      </c>
      <c r="K25" s="23" t="str">
        <f t="shared" ca="1" si="3"/>
        <v>dry</v>
      </c>
      <c r="L25" s="23" t="str">
        <f t="shared" ca="1" si="4"/>
        <v>B</v>
      </c>
      <c r="M25" s="23" t="str">
        <f t="shared" ca="1" si="5"/>
        <v>present</v>
      </c>
      <c r="N25" s="23">
        <v>24</v>
      </c>
      <c r="O25" s="23" t="str">
        <f t="shared" ca="1" si="6"/>
        <v>B</v>
      </c>
    </row>
    <row r="26" spans="2:15" x14ac:dyDescent="0.45">
      <c r="B26" s="23">
        <v>25</v>
      </c>
      <c r="C26" s="23" t="s">
        <v>14</v>
      </c>
      <c r="D26" s="23" t="s">
        <v>16</v>
      </c>
      <c r="E26" s="23" t="s">
        <v>15</v>
      </c>
      <c r="F26" s="23" t="s">
        <v>19</v>
      </c>
      <c r="G26" s="23">
        <f t="shared" ca="1" si="0"/>
        <v>0.70186862701157293</v>
      </c>
    </row>
    <row r="27" spans="2:15" x14ac:dyDescent="0.45">
      <c r="B27" s="23">
        <v>26</v>
      </c>
      <c r="C27" s="23" t="s">
        <v>14</v>
      </c>
      <c r="D27" s="23" t="s">
        <v>17</v>
      </c>
      <c r="E27" s="23" t="s">
        <v>20</v>
      </c>
      <c r="F27" s="23" t="s">
        <v>19</v>
      </c>
      <c r="G27" s="23">
        <f t="shared" ca="1" si="0"/>
        <v>0.58861901139231432</v>
      </c>
    </row>
    <row r="28" spans="2:15" x14ac:dyDescent="0.45">
      <c r="B28" s="23">
        <v>27</v>
      </c>
      <c r="C28" s="23" t="s">
        <v>15</v>
      </c>
      <c r="D28" s="23" t="s">
        <v>16</v>
      </c>
      <c r="E28" s="23" t="s">
        <v>14</v>
      </c>
      <c r="F28" s="23" t="s">
        <v>18</v>
      </c>
      <c r="G28" s="23">
        <f t="shared" ca="1" si="0"/>
        <v>0.38730827589245664</v>
      </c>
    </row>
    <row r="29" spans="2:15" x14ac:dyDescent="0.45">
      <c r="B29" s="23">
        <v>28</v>
      </c>
      <c r="C29" s="23" t="s">
        <v>15</v>
      </c>
      <c r="D29" s="23" t="s">
        <v>17</v>
      </c>
      <c r="E29" s="23" t="s">
        <v>20</v>
      </c>
      <c r="F29" s="23" t="s">
        <v>18</v>
      </c>
      <c r="G29" s="23">
        <f t="shared" ca="1" si="0"/>
        <v>0.4399071839710218</v>
      </c>
    </row>
    <row r="30" spans="2:15" x14ac:dyDescent="0.45">
      <c r="B30" s="23">
        <v>29</v>
      </c>
      <c r="C30" s="23" t="s">
        <v>20</v>
      </c>
      <c r="D30" s="23" t="s">
        <v>16</v>
      </c>
      <c r="E30" s="23" t="s">
        <v>14</v>
      </c>
      <c r="F30" s="23" t="s">
        <v>18</v>
      </c>
      <c r="G30" s="23">
        <f t="shared" ca="1" si="0"/>
        <v>0.14792520726650482</v>
      </c>
    </row>
    <row r="31" spans="2:15" x14ac:dyDescent="0.45">
      <c r="B31" s="23">
        <v>30</v>
      </c>
      <c r="C31" s="23" t="s">
        <v>20</v>
      </c>
      <c r="D31" s="23" t="s">
        <v>17</v>
      </c>
      <c r="E31" s="23" t="s">
        <v>15</v>
      </c>
      <c r="F31" s="23" t="s">
        <v>18</v>
      </c>
      <c r="G31" s="23">
        <f t="shared" ca="1" si="0"/>
        <v>0.42143232579617473</v>
      </c>
    </row>
    <row r="32" spans="2:15" x14ac:dyDescent="0.45">
      <c r="B32" s="23">
        <v>31</v>
      </c>
      <c r="C32" s="23" t="s">
        <v>14</v>
      </c>
      <c r="D32" s="23" t="s">
        <v>16</v>
      </c>
      <c r="E32" s="23" t="s">
        <v>20</v>
      </c>
      <c r="F32" s="23" t="s">
        <v>19</v>
      </c>
      <c r="G32" s="23">
        <f t="shared" ca="1" si="0"/>
        <v>8.1284946476352093E-2</v>
      </c>
    </row>
    <row r="33" spans="2:7" x14ac:dyDescent="0.45">
      <c r="B33" s="23">
        <v>32</v>
      </c>
      <c r="C33" s="23" t="s">
        <v>14</v>
      </c>
      <c r="D33" s="23" t="s">
        <v>17</v>
      </c>
      <c r="E33" s="23" t="s">
        <v>15</v>
      </c>
      <c r="F33" s="23" t="s">
        <v>19</v>
      </c>
      <c r="G33" s="23">
        <f t="shared" ca="1" si="0"/>
        <v>0.39427297619259527</v>
      </c>
    </row>
    <row r="34" spans="2:7" x14ac:dyDescent="0.45">
      <c r="B34" s="23">
        <v>33</v>
      </c>
      <c r="C34" s="23" t="s">
        <v>15</v>
      </c>
      <c r="D34" s="23" t="s">
        <v>16</v>
      </c>
      <c r="E34" s="23" t="s">
        <v>20</v>
      </c>
      <c r="F34" s="23" t="s">
        <v>18</v>
      </c>
      <c r="G34" s="23">
        <f t="shared" ca="1" si="0"/>
        <v>0.43731057403473461</v>
      </c>
    </row>
    <row r="35" spans="2:7" x14ac:dyDescent="0.45">
      <c r="B35" s="23">
        <v>34</v>
      </c>
      <c r="C35" s="23" t="s">
        <v>15</v>
      </c>
      <c r="D35" s="23" t="s">
        <v>17</v>
      </c>
      <c r="E35" s="23" t="s">
        <v>14</v>
      </c>
      <c r="F35" s="23" t="s">
        <v>18</v>
      </c>
      <c r="G35" s="23">
        <f t="shared" ca="1" si="0"/>
        <v>0.65285530632298383</v>
      </c>
    </row>
    <row r="36" spans="2:7" x14ac:dyDescent="0.45">
      <c r="B36" s="23">
        <v>35</v>
      </c>
      <c r="C36" s="23" t="s">
        <v>20</v>
      </c>
      <c r="D36" s="23" t="s">
        <v>16</v>
      </c>
      <c r="E36" s="23" t="s">
        <v>15</v>
      </c>
      <c r="F36" s="23" t="s">
        <v>18</v>
      </c>
      <c r="G36" s="23">
        <f t="shared" ca="1" si="0"/>
        <v>0.67830547071899161</v>
      </c>
    </row>
    <row r="37" spans="2:7" x14ac:dyDescent="0.45">
      <c r="B37" s="23">
        <v>36</v>
      </c>
      <c r="C37" s="23" t="s">
        <v>20</v>
      </c>
      <c r="D37" s="23" t="s">
        <v>17</v>
      </c>
      <c r="E37" s="23" t="s">
        <v>14</v>
      </c>
      <c r="F37" s="23" t="s">
        <v>18</v>
      </c>
      <c r="G37" s="23">
        <f t="shared" ca="1" si="0"/>
        <v>0.10973990639635778</v>
      </c>
    </row>
  </sheetData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Protocols</vt:lpstr>
      <vt:lpstr>counterbalancing</vt:lpstr>
      <vt:lpstr>Protocols!Print_Titles</vt:lpstr>
    </vt:vector>
  </TitlesOfParts>
  <Company>MPI EVA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 Völter</dc:creator>
  <cp:lastModifiedBy>Völter Christoph</cp:lastModifiedBy>
  <cp:lastPrinted>2021-02-12T18:03:58Z</cp:lastPrinted>
  <dcterms:created xsi:type="dcterms:W3CDTF">2016-05-24T15:23:20Z</dcterms:created>
  <dcterms:modified xsi:type="dcterms:W3CDTF">2021-02-14T17:09:43Z</dcterms:modified>
</cp:coreProperties>
</file>